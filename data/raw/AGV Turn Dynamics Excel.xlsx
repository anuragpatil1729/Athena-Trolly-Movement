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760" windowHeight="14020"/>
  </bookViews>
  <sheets>
    <sheet name="Control Dynamics" sheetId="1" r:id="rId1"/>
    <sheet name="Motion Dynamics" sheetId="2" r:id="rId2"/>
    <sheet name="Programming Details" sheetId="3" r:id="rId3"/>
    <sheet name="Sensors to be us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<sst xmlns="http://schemas.openxmlformats.org/spreadsheetml/2006/main" count="74" uniqueCount="49">
  <si>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Track</t>
  </si>
  <si>
    <t>Turn Angle</t>
  </si>
  <si>
    <t>Turn Rad</t>
  </si>
  <si>
    <t>Arc</t>
  </si>
  <si>
    <t>Inner Rad</t>
  </si>
  <si>
    <t>Outer Rad</t>
  </si>
  <si>
    <t>Inner Arc</t>
  </si>
  <si>
    <t>Deg In W</t>
  </si>
  <si>
    <t>Outer Arc</t>
  </si>
  <si>
    <t>Deg Ou W</t>
  </si>
  <si>
    <t>Inner Dir</t>
  </si>
  <si>
    <t>Outer Dir</t>
  </si>
  <si>
    <t>Rev</t>
  </si>
  <si>
    <t>For</t>
  </si>
  <si>
    <t>Relationship is linear</t>
  </si>
  <si>
    <t>for every 90 Degrees the Arc Length is Pi/2 times</t>
  </si>
  <si>
    <t>Even the Inner Arc to Outer Arc Difference is Const</t>
  </si>
  <si>
    <t>for ALL Radii of Turning But Values of each arc lengths are different</t>
  </si>
  <si>
    <t>Wheel Dia</t>
  </si>
  <si>
    <t>Circumferance</t>
  </si>
  <si>
    <t>Speed M/Min</t>
  </si>
  <si>
    <t>RPM</t>
  </si>
  <si>
    <t>Programming Code Details</t>
  </si>
  <si>
    <t>G1 for Straight Movement in a line</t>
  </si>
  <si>
    <t>G2 For Clockwise Movement Supplemented by R the radious</t>
  </si>
  <si>
    <t>G3 For Counterclockwise Movement Supplemented by R the radious</t>
  </si>
  <si>
    <t>M99, M30, M02</t>
  </si>
  <si>
    <t>Movement Strategy In case of Obstacle</t>
  </si>
  <si>
    <t>Obstacle is stationary</t>
  </si>
  <si>
    <t xml:space="preserve">Overtake &amp; Move, Shift the Target then Bring Back </t>
  </si>
  <si>
    <t>Target Shifting will be dynamic with auto speed correction</t>
  </si>
  <si>
    <t>Obstacle is Moving</t>
  </si>
  <si>
    <t>Moving in Same Direction</t>
  </si>
  <si>
    <t>Moving in Opposite Direction</t>
  </si>
  <si>
    <t>Docking Manuvers</t>
  </si>
  <si>
    <t>Rough Guides will guide the trolley to the exact location</t>
  </si>
  <si>
    <t>Speed &amp; micro adjustments will have to be done</t>
  </si>
  <si>
    <t>Definable destinations</t>
  </si>
  <si>
    <t>Definable Paths</t>
  </si>
  <si>
    <t>Movement only in Forward Mode, if Reverse needed, Turn Trolley in situ by 180 degrees before movement.</t>
  </si>
  <si>
    <t>GPS Sensor</t>
  </si>
  <si>
    <t>Motor Drivers</t>
  </si>
  <si>
    <t>Accelerometer</t>
  </si>
  <si>
    <t>Siren / Beeper</t>
  </si>
  <si>
    <t>Hall Effect Potentiometer for Position Tracking</t>
  </si>
  <si>
    <t>Hall effect Potentiometer for Angle Tracking Tracking during motion</t>
  </si>
  <si>
    <t>Lidar</t>
  </si>
  <si>
    <t>Radar</t>
  </si>
  <si>
    <t>PIV Sensor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</si>
</sst>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'Control Dynamics'!$D$7:$D$18</c:f>
              <c:numCache>
                <c:formatCode>General</c:formatCode>
                <c:ptCount val="1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'Control Dynamics'!$E$7:$E$18</c:f>
              <c:numCache>
                <c:formatCode>General</c:formatCode>
                <c:ptCount val="12"/>
                <c:pt idx="0">
                  <c:v>0</c:v>
                </c:pt>
                <c:pt idx="1">
                  <c:v>78.539</c:v>
                </c:pt>
                <c:pt idx="2">
                  <c:v>157.796</c:v>
                </c:pt>
                <c:pt idx="3">
                  <c:v>235.619</c:v>
                </c:pt>
                <c:pt idx="4">
                  <c:v>314.159</c:v>
                </c:pt>
                <c:pt idx="5">
                  <c:v>392.699</c:v>
                </c:pt>
                <c:pt idx="6">
                  <c:v>471.238</c:v>
                </c:pt>
                <c:pt idx="7">
                  <c:v>549.778</c:v>
                </c:pt>
                <c:pt idx="8">
                  <c:v>628.318</c:v>
                </c:pt>
                <c:pt idx="9">
                  <c:v>706.858</c:v>
                </c:pt>
                <c:pt idx="10">
                  <c:v>785.398</c:v>
                </c:pt>
                <c:pt idx="11">
                  <c:v>863.938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'Control Dynamics'!$F$7:$F$18</c:f>
              <c:numCache>
                <c:formatCode>General</c:formatCode>
                <c:ptCount val="12"/>
                <c:pt idx="0">
                  <c:v>100</c:v>
                </c:pt>
                <c:pt idx="1">
                  <c:v>50</c:v>
                </c:pt>
                <c:pt idx="2">
                  <c:v>0</c:v>
                </c:pt>
                <c:pt idx="3">
                  <c:v>50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  <c:pt idx="7">
                  <c:v>250</c:v>
                </c:pt>
                <c:pt idx="8">
                  <c:v>300</c:v>
                </c:pt>
                <c:pt idx="9">
                  <c:v>350</c:v>
                </c:pt>
                <c:pt idx="10">
                  <c:v>400</c:v>
                </c:pt>
                <c:pt idx="11">
                  <c:v>450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'Control Dynamics'!$G$7:$G$18</c:f>
              <c:numCache>
                <c:formatCode>General</c:formatCode>
                <c:ptCount val="12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'Control Dynamics'!$H$7:$H$18</c:f>
              <c:numCache>
                <c:formatCode>General</c:formatCode>
                <c:ptCount val="12"/>
                <c:pt idx="0">
                  <c:v>78.539</c:v>
                </c:pt>
                <c:pt idx="1">
                  <c:v>78.539</c:v>
                </c:pt>
                <c:pt idx="2">
                  <c:v>0</c:v>
                </c:pt>
                <c:pt idx="3">
                  <c:v>78.539</c:v>
                </c:pt>
                <c:pt idx="4">
                  <c:v>157.796</c:v>
                </c:pt>
                <c:pt idx="5">
                  <c:v>235.619</c:v>
                </c:pt>
                <c:pt idx="6">
                  <c:v>314.159</c:v>
                </c:pt>
                <c:pt idx="7">
                  <c:v>392.699</c:v>
                </c:pt>
                <c:pt idx="8">
                  <c:v>471.238</c:v>
                </c:pt>
                <c:pt idx="9">
                  <c:v>549.778</c:v>
                </c:pt>
                <c:pt idx="10">
                  <c:v>628.318</c:v>
                </c:pt>
                <c:pt idx="11">
                  <c:v>706.858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'Control Dynamics'!$J$7:$J$18</c:f>
              <c:numCache>
                <c:formatCode>General</c:formatCode>
                <c:ptCount val="12"/>
                <c:pt idx="0">
                  <c:v>78.539</c:v>
                </c:pt>
                <c:pt idx="1">
                  <c:v>235.619</c:v>
                </c:pt>
                <c:pt idx="2">
                  <c:v>314.159</c:v>
                </c:pt>
                <c:pt idx="3">
                  <c:v>392.699</c:v>
                </c:pt>
                <c:pt idx="4">
                  <c:v>471.238</c:v>
                </c:pt>
                <c:pt idx="5">
                  <c:v>549.778</c:v>
                </c:pt>
                <c:pt idx="6">
                  <c:v>628.318</c:v>
                </c:pt>
                <c:pt idx="7">
                  <c:v>706.858</c:v>
                </c:pt>
                <c:pt idx="8">
                  <c:v>785.398</c:v>
                </c:pt>
                <c:pt idx="9">
                  <c:v>863.938</c:v>
                </c:pt>
                <c:pt idx="10">
                  <c:v>942.477</c:v>
                </c:pt>
                <c:pt idx="11">
                  <c:v>1021.017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06031279"/>
        <c:axId val="1310238655"/>
      </c:lineChart>
      <c:catAx>
        <c:axId val="1306031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0238655"/>
        <c:crosses val="autoZero"/>
        <c:auto val="1"/>
        <c:lblAlgn val="ctr"/>
        <c:lblOffset val="100"/>
        <c:noMultiLvlLbl val="0"/>
      </c:catAx>
      <c:valAx>
        <c:axId val="131023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603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1a455b5-f4a6-4d31-92c7-e8d0a67349f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600075</xdr:colOff>
      <xdr:row>21</xdr:row>
      <xdr:rowOff>57150</xdr:rowOff>
    </xdr:from>
    <xdr:to>
      <xdr:col>18</xdr:col>
      <xdr:colOff>180975</xdr:colOff>
      <xdr:row>36</xdr:row>
      <xdr:rowOff>38100</xdr:rowOff>
    </xdr:to>
    <xdr:graphicFrame>
      <xdr:nvGraphicFramePr>
        <xdr:cNvPr id="2" name="Chart 1"/>
        <xdr:cNvGraphicFramePr/>
      </xdr:nvGraphicFramePr>
      <xdr:xfrm>
        <a:off x="4257675" y="4537710"/>
        <a:ext cx="7716520" cy="3181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S18"/>
  <sheetViews>
    <sheetView tabSelected="1" workbookViewId="0">
      <selection activeCell="Q3" sqref="Q3"/>
    </sheetView>
  </sheetViews>
  <sheetFormatPr defaultColWidth="9" defaultRowHeight="16.8"/>
  <cols>
    <col min="6" max="6" width="9.8203125" customWidth="1"/>
    <col min="7" max="7" width="9.2734375" customWidth="1"/>
    <col min="12" max="13" width="9" hidden="1" customWidth="1"/>
  </cols>
  <sheetData>
    <row r="4" spans="3:19">
      <c r="C4" t="s">
        <v>0</v>
      </c>
      <c r="D4">
        <v>200</v>
      </c>
      <c r="F4" t="s">
        <v>1</v>
      </c>
      <c r="G4">
        <v>90</v>
      </c>
    </row>
    <row r="6" spans="3:19"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N6" t="s">
        <v>10</v>
      </c>
      <c r="O6" t="s">
        <v>11</v>
      </c>
    </row>
    <row r="7" spans="3:19">
      <c r="D7">
        <v>0</v>
      </c>
      <c r="E7">
        <v>0</v>
      </c>
      <c r="F7">
        <v>100</v>
      </c>
      <c r="G7">
        <v>100</v>
      </c>
      <c r="H7">
        <v>78.539</v>
      </c>
      <c r="I7">
        <f>H7*360/392.7</f>
        <v>71.9990832696715</v>
      </c>
      <c r="J7">
        <v>78.539</v>
      </c>
      <c r="K7">
        <f>J7*360/392.7</f>
        <v>71.9990832696715</v>
      </c>
      <c r="N7" s="1" t="s">
        <v>12</v>
      </c>
      <c r="O7" s="1" t="s">
        <v>13</v>
      </c>
      <c r="P7">
        <f>J7-H7</f>
        <v>0</v>
      </c>
      <c r="Q7">
        <f>K7-I7</f>
        <v>0</v>
      </c>
    </row>
    <row r="8" spans="3:19">
      <c r="D8">
        <v>50</v>
      </c>
      <c r="E8">
        <v>78.539</v>
      </c>
      <c r="F8">
        <v>50</v>
      </c>
      <c r="G8">
        <v>150</v>
      </c>
      <c r="H8">
        <v>78.539</v>
      </c>
      <c r="I8">
        <f t="shared" ref="I8:I18" si="0">H8*360/392.7</f>
        <v>71.9990832696715</v>
      </c>
      <c r="J8">
        <v>235.619</v>
      </c>
      <c r="K8">
        <f t="shared" ref="K8:K18" si="1">J8*360/392.7</f>
        <v>215.999083269672</v>
      </c>
      <c r="L8">
        <f t="shared" ref="L8:L9" si="2">J8-J7</f>
        <v>157.08</v>
      </c>
      <c r="M8">
        <f t="shared" ref="M8:M9" si="3">H8-H7</f>
        <v>0</v>
      </c>
      <c r="N8" s="1" t="s">
        <v>12</v>
      </c>
      <c r="O8" s="1" t="s">
        <v>13</v>
      </c>
      <c r="P8">
        <f t="shared" ref="P8:P18" si="4">J8-H8</f>
        <v>157.08</v>
      </c>
      <c r="Q8">
        <f t="shared" ref="Q8:Q18" si="5">K8-I8</f>
        <v>144</v>
      </c>
    </row>
    <row r="9" spans="3:19">
      <c r="D9">
        <v>100</v>
      </c>
      <c r="E9">
        <v>157.796</v>
      </c>
      <c r="F9">
        <v>0</v>
      </c>
      <c r="G9">
        <v>200</v>
      </c>
      <c r="H9">
        <v>0</v>
      </c>
      <c r="I9">
        <f t="shared" si="0"/>
        <v>0</v>
      </c>
      <c r="J9">
        <v>314.159</v>
      </c>
      <c r="K9">
        <f t="shared" si="1"/>
        <v>287.999083269671</v>
      </c>
      <c r="L9">
        <f t="shared" si="2"/>
        <v>78.54</v>
      </c>
      <c r="M9">
        <f t="shared" si="3"/>
        <v>-78.539</v>
      </c>
      <c r="O9" s="1" t="s">
        <v>13</v>
      </c>
      <c r="P9">
        <f t="shared" si="4"/>
        <v>314.159</v>
      </c>
      <c r="Q9">
        <f t="shared" si="5"/>
        <v>287.999083269671</v>
      </c>
      <c r="R9">
        <f>H10/F10</f>
        <v>1.57078</v>
      </c>
      <c r="S9">
        <f>(PI()/2)</f>
        <v>1.5707963267949</v>
      </c>
    </row>
    <row r="10" spans="3:19">
      <c r="D10">
        <v>150</v>
      </c>
      <c r="E10">
        <v>235.619</v>
      </c>
      <c r="F10">
        <v>50</v>
      </c>
      <c r="G10">
        <v>250</v>
      </c>
      <c r="H10">
        <v>78.539</v>
      </c>
      <c r="I10">
        <f t="shared" si="0"/>
        <v>71.9990832696715</v>
      </c>
      <c r="J10">
        <v>392.699</v>
      </c>
      <c r="K10">
        <f t="shared" si="1"/>
        <v>359.999083269672</v>
      </c>
      <c r="L10">
        <f t="shared" ref="L10:L18" si="6">J10-J9</f>
        <v>78.54</v>
      </c>
      <c r="M10">
        <f t="shared" ref="M10:M18" si="7">H10-H9</f>
        <v>78.539</v>
      </c>
      <c r="N10" s="1" t="s">
        <v>13</v>
      </c>
      <c r="O10" s="1" t="s">
        <v>13</v>
      </c>
      <c r="P10">
        <f t="shared" si="4"/>
        <v>314.16</v>
      </c>
      <c r="Q10">
        <f t="shared" si="5"/>
        <v>288</v>
      </c>
    </row>
    <row r="11" spans="3:19">
      <c r="D11">
        <v>200</v>
      </c>
      <c r="E11">
        <v>314.159</v>
      </c>
      <c r="F11">
        <v>100</v>
      </c>
      <c r="G11">
        <v>300</v>
      </c>
      <c r="H11">
        <v>157.796</v>
      </c>
      <c r="I11">
        <f t="shared" si="0"/>
        <v>144.656378915202</v>
      </c>
      <c r="J11">
        <v>471.238</v>
      </c>
      <c r="K11">
        <f t="shared" si="1"/>
        <v>431.998166539343</v>
      </c>
      <c r="L11">
        <f t="shared" si="6"/>
        <v>78.539</v>
      </c>
      <c r="M11">
        <f t="shared" si="7"/>
        <v>79.257</v>
      </c>
      <c r="N11" s="1" t="s">
        <v>13</v>
      </c>
      <c r="O11" s="1" t="s">
        <v>13</v>
      </c>
      <c r="P11">
        <f t="shared" si="4"/>
        <v>313.442</v>
      </c>
      <c r="Q11">
        <f t="shared" si="5"/>
        <v>287.341787624141</v>
      </c>
      <c r="R11" t="s">
        <v>14</v>
      </c>
    </row>
    <row r="12" spans="3:19">
      <c r="D12">
        <v>250</v>
      </c>
      <c r="E12">
        <v>392.699</v>
      </c>
      <c r="F12">
        <v>150</v>
      </c>
      <c r="G12">
        <v>350</v>
      </c>
      <c r="H12">
        <v>235.619</v>
      </c>
      <c r="I12">
        <f t="shared" si="0"/>
        <v>215.999083269672</v>
      </c>
      <c r="J12">
        <v>549.778</v>
      </c>
      <c r="K12">
        <f t="shared" si="1"/>
        <v>503.998166539343</v>
      </c>
      <c r="L12">
        <f t="shared" si="6"/>
        <v>78.54</v>
      </c>
      <c r="M12">
        <f t="shared" si="7"/>
        <v>77.823</v>
      </c>
      <c r="N12" s="1" t="s">
        <v>13</v>
      </c>
      <c r="O12" s="1" t="s">
        <v>13</v>
      </c>
      <c r="P12">
        <f t="shared" si="4"/>
        <v>314.159</v>
      </c>
      <c r="Q12">
        <f t="shared" si="5"/>
        <v>287.999083269672</v>
      </c>
      <c r="R12" t="s">
        <v>15</v>
      </c>
    </row>
    <row r="13" spans="3:19">
      <c r="D13">
        <v>300</v>
      </c>
      <c r="E13">
        <v>471.238</v>
      </c>
      <c r="F13">
        <v>200</v>
      </c>
      <c r="G13">
        <v>400</v>
      </c>
      <c r="H13">
        <v>314.159</v>
      </c>
      <c r="I13">
        <f t="shared" si="0"/>
        <v>287.999083269671</v>
      </c>
      <c r="J13">
        <v>628.318</v>
      </c>
      <c r="K13">
        <f t="shared" si="1"/>
        <v>575.998166539343</v>
      </c>
      <c r="L13">
        <f t="shared" si="6"/>
        <v>78.54</v>
      </c>
      <c r="M13">
        <f t="shared" si="7"/>
        <v>78.54</v>
      </c>
      <c r="N13" s="1" t="s">
        <v>13</v>
      </c>
      <c r="O13" s="1" t="s">
        <v>13</v>
      </c>
      <c r="P13">
        <f t="shared" si="4"/>
        <v>314.159</v>
      </c>
      <c r="Q13">
        <f t="shared" si="5"/>
        <v>287.999083269671</v>
      </c>
    </row>
    <row r="14" spans="3:19">
      <c r="D14">
        <v>350</v>
      </c>
      <c r="E14">
        <v>549.778</v>
      </c>
      <c r="F14">
        <v>250</v>
      </c>
      <c r="G14">
        <v>450</v>
      </c>
      <c r="H14">
        <v>392.699</v>
      </c>
      <c r="I14">
        <f t="shared" si="0"/>
        <v>359.999083269672</v>
      </c>
      <c r="J14">
        <v>706.858</v>
      </c>
      <c r="K14">
        <f t="shared" si="1"/>
        <v>647.998166539343</v>
      </c>
      <c r="L14">
        <f t="shared" si="6"/>
        <v>78.54</v>
      </c>
      <c r="M14">
        <f t="shared" si="7"/>
        <v>78.54</v>
      </c>
      <c r="N14" s="1" t="s">
        <v>13</v>
      </c>
      <c r="O14" s="1" t="s">
        <v>13</v>
      </c>
      <c r="P14">
        <f t="shared" si="4"/>
        <v>314.159</v>
      </c>
      <c r="Q14">
        <f t="shared" si="5"/>
        <v>287.999083269671</v>
      </c>
      <c r="R14" t="s">
        <v>16</v>
      </c>
    </row>
    <row r="15" spans="3:19">
      <c r="D15">
        <v>400</v>
      </c>
      <c r="E15">
        <v>628.318</v>
      </c>
      <c r="F15">
        <v>300</v>
      </c>
      <c r="G15">
        <v>500</v>
      </c>
      <c r="H15">
        <v>471.238</v>
      </c>
      <c r="I15">
        <f t="shared" si="0"/>
        <v>431.998166539343</v>
      </c>
      <c r="J15">
        <v>785.398</v>
      </c>
      <c r="K15">
        <f t="shared" si="1"/>
        <v>719.998166539343</v>
      </c>
      <c r="L15">
        <f t="shared" si="6"/>
        <v>78.5400000000001</v>
      </c>
      <c r="M15">
        <f t="shared" si="7"/>
        <v>78.539</v>
      </c>
      <c r="N15" s="1" t="s">
        <v>13</v>
      </c>
      <c r="O15" s="1" t="s">
        <v>13</v>
      </c>
      <c r="P15">
        <f t="shared" si="4"/>
        <v>314.16</v>
      </c>
      <c r="Q15">
        <f t="shared" si="5"/>
        <v>288</v>
      </c>
      <c r="R15" t="s">
        <v>17</v>
      </c>
    </row>
    <row r="16" spans="3:19">
      <c r="D16">
        <v>450</v>
      </c>
      <c r="E16">
        <v>706.858</v>
      </c>
      <c r="F16">
        <v>350</v>
      </c>
      <c r="G16">
        <v>550</v>
      </c>
      <c r="H16">
        <v>549.778</v>
      </c>
      <c r="I16">
        <f t="shared" si="0"/>
        <v>503.998166539343</v>
      </c>
      <c r="J16">
        <v>863.938</v>
      </c>
      <c r="K16">
        <f t="shared" si="1"/>
        <v>791.998166539343</v>
      </c>
      <c r="L16">
        <f t="shared" si="6"/>
        <v>78.54</v>
      </c>
      <c r="M16">
        <f t="shared" si="7"/>
        <v>78.54</v>
      </c>
      <c r="N16" s="1" t="s">
        <v>13</v>
      </c>
      <c r="O16" s="1" t="s">
        <v>13</v>
      </c>
      <c r="P16">
        <f t="shared" si="4"/>
        <v>314.16</v>
      </c>
      <c r="Q16">
        <f t="shared" si="5"/>
        <v>288</v>
      </c>
    </row>
    <row r="17" spans="4:17">
      <c r="D17">
        <v>500</v>
      </c>
      <c r="E17">
        <v>785.398</v>
      </c>
      <c r="F17">
        <v>400</v>
      </c>
      <c r="G17">
        <v>600</v>
      </c>
      <c r="H17">
        <v>628.318</v>
      </c>
      <c r="I17">
        <f t="shared" si="0"/>
        <v>575.998166539343</v>
      </c>
      <c r="J17">
        <v>942.477</v>
      </c>
      <c r="K17">
        <f t="shared" si="1"/>
        <v>863.997249809014</v>
      </c>
      <c r="L17">
        <f t="shared" si="6"/>
        <v>78.539</v>
      </c>
      <c r="M17">
        <f t="shared" si="7"/>
        <v>78.54</v>
      </c>
      <c r="N17" s="1" t="s">
        <v>13</v>
      </c>
      <c r="O17" s="1" t="s">
        <v>13</v>
      </c>
      <c r="P17">
        <f t="shared" si="4"/>
        <v>314.159</v>
      </c>
      <c r="Q17">
        <f t="shared" si="5"/>
        <v>287.999083269671</v>
      </c>
    </row>
    <row r="18" spans="4:17">
      <c r="D18">
        <v>550</v>
      </c>
      <c r="E18">
        <v>863.938</v>
      </c>
      <c r="F18">
        <v>450</v>
      </c>
      <c r="G18">
        <v>650</v>
      </c>
      <c r="H18">
        <v>706.858</v>
      </c>
      <c r="I18">
        <f t="shared" si="0"/>
        <v>647.998166539343</v>
      </c>
      <c r="J18">
        <v>1021.017</v>
      </c>
      <c r="K18">
        <f t="shared" si="1"/>
        <v>935.997249809015</v>
      </c>
      <c r="L18">
        <f t="shared" si="6"/>
        <v>78.5400000000001</v>
      </c>
      <c r="M18">
        <f t="shared" si="7"/>
        <v>78.54</v>
      </c>
      <c r="N18" s="1" t="s">
        <v>13</v>
      </c>
      <c r="O18" s="1" t="s">
        <v>13</v>
      </c>
      <c r="P18">
        <f t="shared" si="4"/>
        <v>314.159</v>
      </c>
      <c r="Q18">
        <f t="shared" si="5"/>
        <v>287.999083269672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3"/>
  <sheetViews>
    <sheetView workbookViewId="0">
      <selection activeCell="I21" sqref="I21"/>
    </sheetView>
  </sheetViews>
  <sheetFormatPr defaultColWidth="9" defaultRowHeight="16.8"/>
  <cols>
    <col min="2" max="2" width="9.3671875" customWidth="1"/>
    <col min="3" max="3" width="13" customWidth="1"/>
  </cols>
  <sheetData>
    <row r="2" spans="2:11">
      <c r="B2" t="s">
        <v>18</v>
      </c>
      <c r="C2" t="s">
        <v>19</v>
      </c>
      <c r="D2" t="s">
        <v>20</v>
      </c>
      <c r="E2" t="s">
        <v>21</v>
      </c>
    </row>
    <row r="3" spans="2:11">
      <c r="B3">
        <v>125</v>
      </c>
      <c r="C3">
        <f>B3*PI()</f>
        <v>392.699081698724</v>
      </c>
      <c r="D3">
        <v>1</v>
      </c>
      <c r="E3">
        <f>D3*1000/C3</f>
        <v>2.54647908947033</v>
      </c>
    </row>
    <row r="4" spans="2:11">
      <c r="B4">
        <v>125</v>
      </c>
      <c r="C4">
        <f>B4*PI()</f>
        <v>392.699081698724</v>
      </c>
      <c r="D4">
        <v>2</v>
      </c>
      <c r="E4">
        <f>D4*1000/C4</f>
        <v>5.09295817894065</v>
      </c>
    </row>
    <row r="5" spans="2:11">
      <c r="B5">
        <v>125</v>
      </c>
      <c r="C5">
        <f t="shared" ref="C5:C23" si="0">B5*PI()</f>
        <v>392.699081698724</v>
      </c>
      <c r="D5">
        <v>3</v>
      </c>
      <c r="E5">
        <f t="shared" ref="E5:E23" si="1">D5*1000/C5</f>
        <v>7.63943726841098</v>
      </c>
    </row>
    <row r="6" spans="2:11">
      <c r="B6">
        <v>125</v>
      </c>
      <c r="C6">
        <f t="shared" si="0"/>
        <v>392.699081698724</v>
      </c>
      <c r="D6">
        <v>4</v>
      </c>
      <c r="E6">
        <f t="shared" si="1"/>
        <v>10.1859163578813</v>
      </c>
    </row>
    <row r="7" spans="2:11">
      <c r="B7">
        <v>125</v>
      </c>
      <c r="C7">
        <f t="shared" si="0"/>
        <v>392.699081698724</v>
      </c>
      <c r="D7">
        <v>5</v>
      </c>
      <c r="E7">
        <f t="shared" si="1"/>
        <v>12.7323954473516</v>
      </c>
    </row>
    <row r="8" spans="2:11">
      <c r="B8">
        <v>125</v>
      </c>
      <c r="C8">
        <f t="shared" si="0"/>
        <v>392.699081698724</v>
      </c>
      <c r="D8">
        <v>6</v>
      </c>
      <c r="E8">
        <f t="shared" si="1"/>
        <v>15.278874536822</v>
      </c>
    </row>
    <row r="9" spans="2:11">
      <c r="B9">
        <v>125</v>
      </c>
      <c r="C9">
        <f t="shared" si="0"/>
        <v>392.699081698724</v>
      </c>
      <c r="D9">
        <v>7</v>
      </c>
      <c r="E9">
        <f t="shared" si="1"/>
        <v>17.8253536262923</v>
      </c>
    </row>
    <row r="10" spans="2:11">
      <c r="B10">
        <v>125</v>
      </c>
      <c r="C10">
        <f t="shared" si="0"/>
        <v>392.699081698724</v>
      </c>
      <c r="D10">
        <v>8</v>
      </c>
      <c r="E10">
        <f t="shared" si="1"/>
        <v>20.3718327157626</v>
      </c>
    </row>
    <row r="11" spans="2:11">
      <c r="B11">
        <v>125</v>
      </c>
      <c r="C11">
        <f t="shared" si="0"/>
        <v>392.699081698724</v>
      </c>
      <c r="D11">
        <v>9</v>
      </c>
      <c r="E11">
        <f t="shared" si="1"/>
        <v>22.9183118052329</v>
      </c>
    </row>
    <row r="12" spans="2:11">
      <c r="B12">
        <v>125</v>
      </c>
      <c r="C12">
        <f t="shared" si="0"/>
        <v>392.699081698724</v>
      </c>
      <c r="D12">
        <v>10</v>
      </c>
      <c r="E12">
        <f t="shared" si="1"/>
        <v>25.4647908947033</v>
      </c>
      <c r="G12">
        <v>292.7</v>
      </c>
      <c r="I12">
        <f>G12/360</f>
        <v>0.813055555555556</v>
      </c>
      <c r="K12">
        <f>I12/10</f>
        <v>0.0813055555555555</v>
      </c>
    </row>
    <row r="13" spans="2:11">
      <c r="B13">
        <v>125</v>
      </c>
      <c r="C13">
        <f t="shared" si="0"/>
        <v>392.699081698724</v>
      </c>
      <c r="D13">
        <v>11</v>
      </c>
      <c r="E13">
        <f t="shared" si="1"/>
        <v>28.0112699841736</v>
      </c>
    </row>
    <row r="14" spans="2:11">
      <c r="B14">
        <v>125</v>
      </c>
      <c r="C14">
        <f t="shared" si="0"/>
        <v>392.699081698724</v>
      </c>
      <c r="D14">
        <v>12</v>
      </c>
      <c r="E14">
        <f t="shared" si="1"/>
        <v>30.5577490736439</v>
      </c>
    </row>
    <row r="15" spans="2:11">
      <c r="B15">
        <v>125</v>
      </c>
      <c r="C15">
        <f t="shared" si="0"/>
        <v>392.699081698724</v>
      </c>
      <c r="D15">
        <v>13</v>
      </c>
      <c r="E15">
        <f t="shared" si="1"/>
        <v>33.1042281631142</v>
      </c>
    </row>
    <row r="16" spans="2:11">
      <c r="B16">
        <v>125</v>
      </c>
      <c r="C16">
        <f t="shared" si="0"/>
        <v>392.699081698724</v>
      </c>
      <c r="D16">
        <v>14</v>
      </c>
      <c r="E16">
        <f t="shared" si="1"/>
        <v>35.6507072525846</v>
      </c>
    </row>
    <row r="17" spans="2:5">
      <c r="B17">
        <v>125</v>
      </c>
      <c r="C17">
        <f t="shared" si="0"/>
        <v>392.699081698724</v>
      </c>
      <c r="D17">
        <v>15</v>
      </c>
      <c r="E17">
        <f t="shared" si="1"/>
        <v>38.1971863420549</v>
      </c>
    </row>
    <row r="18" spans="2:5">
      <c r="B18">
        <v>125</v>
      </c>
      <c r="C18">
        <f t="shared" si="0"/>
        <v>392.699081698724</v>
      </c>
      <c r="D18">
        <v>16</v>
      </c>
      <c r="E18">
        <f t="shared" si="1"/>
        <v>40.7436654315252</v>
      </c>
    </row>
    <row r="19" spans="2:5">
      <c r="B19">
        <v>125</v>
      </c>
      <c r="C19">
        <f t="shared" si="0"/>
        <v>392.699081698724</v>
      </c>
      <c r="D19">
        <v>17</v>
      </c>
      <c r="E19">
        <f t="shared" si="1"/>
        <v>43.2901445209955</v>
      </c>
    </row>
    <row r="20" spans="2:5">
      <c r="B20">
        <v>125</v>
      </c>
      <c r="C20">
        <f t="shared" si="0"/>
        <v>392.699081698724</v>
      </c>
      <c r="D20">
        <v>18</v>
      </c>
      <c r="E20">
        <f t="shared" si="1"/>
        <v>45.8366236104659</v>
      </c>
    </row>
    <row r="21" spans="2:5">
      <c r="B21">
        <v>125</v>
      </c>
      <c r="C21">
        <f t="shared" si="0"/>
        <v>392.699081698724</v>
      </c>
      <c r="D21">
        <v>19</v>
      </c>
      <c r="E21">
        <f t="shared" si="1"/>
        <v>48.3831026999362</v>
      </c>
    </row>
    <row r="22" spans="2:5">
      <c r="B22">
        <v>125</v>
      </c>
      <c r="C22">
        <f t="shared" si="0"/>
        <v>392.699081698724</v>
      </c>
      <c r="D22">
        <v>20</v>
      </c>
      <c r="E22">
        <f t="shared" si="1"/>
        <v>50.9295817894065</v>
      </c>
    </row>
    <row r="23" spans="2:5">
      <c r="B23">
        <v>125</v>
      </c>
      <c r="C23">
        <f t="shared" si="0"/>
        <v>392.699081698724</v>
      </c>
      <c r="D23">
        <v>21</v>
      </c>
      <c r="E23">
        <f t="shared" si="1"/>
        <v>53.4760608788768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31"/>
  <sheetViews>
    <sheetView topLeftCell="A4" workbookViewId="0">
      <selection activeCell="M20" sqref="M20"/>
    </sheetView>
  </sheetViews>
  <sheetFormatPr defaultColWidth="9" defaultRowHeight="16.8" outlineLevelCol="3"/>
  <sheetData>
    <row r="3" spans="2:4">
      <c r="B3" t="s">
        <v>22</v>
      </c>
    </row>
    <row r="5" spans="2:4">
      <c r="B5" t="s">
        <v>23</v>
      </c>
    </row>
    <row r="6" spans="2:4">
      <c r="B6" t="s">
        <v>24</v>
      </c>
    </row>
    <row r="7" spans="2:4">
      <c r="B7" t="s">
        <v>25</v>
      </c>
    </row>
    <row r="8" spans="2:4">
      <c r="B8" t="s">
        <v>26</v>
      </c>
    </row>
    <row r="9" spans="2:4">
      <c r="B9" t="s">
        <v>27</v>
      </c>
    </row>
    <row r="10" spans="2:4">
      <c r="C10" t="s">
        <v>28</v>
      </c>
    </row>
    <row r="11" spans="2:4">
      <c r="C11" t="s">
        <v>29</v>
      </c>
    </row>
    <row r="12" spans="2:4">
      <c r="C12" t="s">
        <v>30</v>
      </c>
    </row>
    <row r="13" spans="2:4">
      <c r="C13" t="s">
        <v>31</v>
      </c>
    </row>
    <row r="14" spans="2:4">
      <c r="D14" t="s">
        <v>32</v>
      </c>
    </row>
    <row r="15" spans="2:4">
      <c r="D15" t="s">
        <v>29</v>
      </c>
    </row>
    <row r="16" spans="2:4">
      <c r="D16" t="s">
        <v>30</v>
      </c>
    </row>
    <row r="17" spans="2:4">
      <c r="D17" t="s">
        <v>33</v>
      </c>
    </row>
    <row r="18" spans="2:4">
      <c r="D18" t="s">
        <v>29</v>
      </c>
    </row>
    <row r="19" spans="2:4">
      <c r="D19" t="s">
        <v>30</v>
      </c>
    </row>
    <row r="20" spans="2:4">
      <c r="B20" t="s">
        <v>34</v>
      </c>
    </row>
    <row r="21" spans="2:4">
      <c r="C21" t="s">
        <v>35</v>
      </c>
    </row>
    <row r="22" spans="2:4">
      <c r="C22" t="s">
        <v>36</v>
      </c>
    </row>
    <row r="25" spans="2:4">
      <c r="B25" t="s">
        <v>37</v>
      </c>
    </row>
    <row r="26" spans="2:4">
      <c r="B26" t="s">
        <v>38</v>
      </c>
    </row>
    <row r="31" spans="2:4">
      <c r="B31" t="s">
        <v>39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9"/>
  <sheetViews>
    <sheetView workbookViewId="0">
      <selection activeCell="I16" sqref="I16"/>
    </sheetView>
  </sheetViews>
  <sheetFormatPr defaultColWidth="9" defaultRowHeight="16.8"/>
  <sheetData>
    <row r="3" spans="2:12">
      <c r="B3" t="s">
        <v>40</v>
      </c>
      <c r="L3" t="s">
        <v>41</v>
      </c>
    </row>
    <row r="4" spans="2:12">
      <c r="B4" t="s">
        <v>42</v>
      </c>
      <c r="L4" t="s">
        <v>43</v>
      </c>
    </row>
    <row r="5" spans="2:12">
      <c r="B5" t="s">
        <v>44</v>
      </c>
    </row>
    <row r="6" spans="2:12">
      <c r="B6" t="s">
        <v>45</v>
      </c>
    </row>
    <row r="7" spans="2:12">
      <c r="B7" t="s">
        <v>46</v>
      </c>
    </row>
    <row r="8" spans="2:12">
      <c r="B8" t="s">
        <v>47</v>
      </c>
    </row>
    <row r="9" spans="2:12">
      <c r="B9" t="s">
        <v>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Control Dynamics</vt:lpstr>
      <vt:lpstr>Motion Dynamics</vt:lpstr>
      <vt:lpstr>Programming Details</vt:lpstr>
      <vt:lpstr>Sensors to be used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Mahajani</dc:creator>
  <cp:lastModifiedBy>anuragpatil</cp:lastModifiedBy>
  <dcterms:created xsi:type="dcterms:W3CDTF">2025-11-18T14:37:00Z</dcterms:created>
  <dcterms:modified xsi:type="dcterms:W3CDTF">2026-09-03T13:50:18Z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D0D11046F58FDCC2C22D996AD04E11A9_43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